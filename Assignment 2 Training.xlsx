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SUS\Documents\"/>
    </mc:Choice>
  </mc:AlternateContent>
  <xr:revisionPtr revIDLastSave="0" documentId="8_{F1BCD2D4-A883-42E4-B2A0-03CC9F559379}" xr6:coauthVersionLast="47" xr6:coauthVersionMax="47" xr10:uidLastSave="{00000000-0000-0000-0000-000000000000}"/>
  <bookViews>
    <workbookView xWindow="-108" yWindow="-108" windowWidth="23256" windowHeight="13896" activeTab="2" xr2:uid="{24B1B7CD-A37E-4A4D-84E9-74DD344F970B}"/>
  </bookViews>
  <sheets>
    <sheet name="Sheet3" sheetId="3" r:id="rId1"/>
    <sheet name="Sheet1" sheetId="1" r:id="rId2"/>
    <sheet name="Sheet2" sheetId="2" r:id="rId3"/>
  </sheets>
  <definedNames>
    <definedName name="Slicer_City">#N/A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 i="1" l="1"/>
  <c r="M12" i="1"/>
  <c r="M9" i="1"/>
  <c r="M6" i="1"/>
  <c r="M2" i="1"/>
  <c r="K3" i="1"/>
  <c r="K4" i="1"/>
  <c r="K5" i="1"/>
  <c r="K6" i="1"/>
  <c r="K7" i="1"/>
  <c r="K8" i="1"/>
  <c r="K9" i="1"/>
  <c r="K10" i="1"/>
  <c r="K11" i="1"/>
  <c r="K2" i="1"/>
  <c r="F3" i="1"/>
  <c r="F4" i="1"/>
  <c r="F5" i="1"/>
  <c r="F6" i="1"/>
  <c r="F7" i="1"/>
  <c r="F8" i="1"/>
  <c r="F9" i="1"/>
  <c r="F10" i="1"/>
  <c r="F11" i="1"/>
  <c r="F2" i="1"/>
</calcChain>
</file>

<file path=xl/sharedStrings.xml><?xml version="1.0" encoding="utf-8"?>
<sst xmlns="http://schemas.openxmlformats.org/spreadsheetml/2006/main" count="120" uniqueCount="66">
  <si>
    <t>Order ID</t>
  </si>
  <si>
    <t>Salesperson</t>
  </si>
  <si>
    <t>City</t>
  </si>
  <si>
    <t>ProductID</t>
  </si>
  <si>
    <t>Quantity</t>
  </si>
  <si>
    <t>Actual Price</t>
  </si>
  <si>
    <t>Discount%</t>
  </si>
  <si>
    <t>ORD-001</t>
  </si>
  <si>
    <t>Amit Sharma</t>
  </si>
  <si>
    <t>Delhi</t>
  </si>
  <si>
    <t>P001</t>
  </si>
  <si>
    <t>ORD-002</t>
  </si>
  <si>
    <t>Priya Singh</t>
  </si>
  <si>
    <t>Mumbai</t>
  </si>
  <si>
    <t>P002</t>
  </si>
  <si>
    <t>ORD-003</t>
  </si>
  <si>
    <t>Rahul Verma</t>
  </si>
  <si>
    <t>Chennai</t>
  </si>
  <si>
    <t>P003</t>
  </si>
  <si>
    <t>ORD-004</t>
  </si>
  <si>
    <t>Neha Gupta</t>
  </si>
  <si>
    <t>Pune</t>
  </si>
  <si>
    <t>ORD-005</t>
  </si>
  <si>
    <t>ORD-006</t>
  </si>
  <si>
    <t>ORD-007</t>
  </si>
  <si>
    <t>Rohit Jain</t>
  </si>
  <si>
    <t>Jaipur</t>
  </si>
  <si>
    <t>ORD-008</t>
  </si>
  <si>
    <t>ORD-009</t>
  </si>
  <si>
    <t>ORD-010</t>
  </si>
  <si>
    <t>Product Name</t>
  </si>
  <si>
    <t>ProductName</t>
  </si>
  <si>
    <t>Category</t>
  </si>
  <si>
    <t>StandardPrice</t>
  </si>
  <si>
    <t>Laptop</t>
  </si>
  <si>
    <t>Electronics</t>
  </si>
  <si>
    <t>Smartphone</t>
  </si>
  <si>
    <t>Printer</t>
  </si>
  <si>
    <t>Office Equipment</t>
  </si>
  <si>
    <t>P004</t>
  </si>
  <si>
    <t>Tablet</t>
  </si>
  <si>
    <t>P005</t>
  </si>
  <si>
    <t>Monitor</t>
  </si>
  <si>
    <t>P006</t>
  </si>
  <si>
    <t>Keyboard</t>
  </si>
  <si>
    <t>Accessories</t>
  </si>
  <si>
    <t>P007</t>
  </si>
  <si>
    <t>Mouse</t>
  </si>
  <si>
    <t>P008</t>
  </si>
  <si>
    <t>Headphones</t>
  </si>
  <si>
    <t>P009</t>
  </si>
  <si>
    <t>Webcam</t>
  </si>
  <si>
    <t>P010</t>
  </si>
  <si>
    <t>Router</t>
  </si>
  <si>
    <t>Networking</t>
  </si>
  <si>
    <t>Product Name With index</t>
  </si>
  <si>
    <t>Order by Amit</t>
  </si>
  <si>
    <t>Order have more than 3 Quantity</t>
  </si>
  <si>
    <t>Total Actual price in Dehli</t>
  </si>
  <si>
    <t>Total Quantity</t>
  </si>
  <si>
    <t>Count orders where City = 'Mumbai' AND Quantity &gt; 2</t>
  </si>
  <si>
    <t>Row Labels</t>
  </si>
  <si>
    <t>Grand Total</t>
  </si>
  <si>
    <t>Sum of Actual Price</t>
  </si>
  <si>
    <t>Column Labels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</si>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</sst>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Training.xlsx]Sheet3!PivotTable2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Sheet3!$F$3:$F$4</c:f>
              <c:strCache>
                <c:ptCount val="1"/>
                <c:pt idx="0">
                  <c:v>Amit Sharma</c:v>
                </c:pt>
              </c:strCache>
            </c:strRef>
          </c:tx>
          <c:spPr>
            <a:solidFill>
              <a:schemeClr val="accent1"/>
            </a:solidFill>
            <a:ln>
              <a:noFill/>
            </a:ln>
            <a:effectLst/>
          </c:spPr>
          <c:invertIfNegative val="0"/>
          <c:cat>
            <c:strRef>
              <c:f>Sheet3!$E$5:$E$8</c:f>
              <c:strCache>
                <c:ptCount val="3"/>
                <c:pt idx="0">
                  <c:v>P001</c:v>
                </c:pt>
                <c:pt idx="1">
                  <c:v>P002</c:v>
                </c:pt>
                <c:pt idx="2">
                  <c:v>P003</c:v>
                </c:pt>
              </c:strCache>
            </c:strRef>
          </c:cat>
          <c:val>
            <c:numRef>
              <c:f>Sheet3!$F$5:$F$8</c:f>
              <c:numCache>
                <c:formatCode>General</c:formatCode>
                <c:ptCount val="3"/>
                <c:pt idx="0">
                  <c:v>2</c:v>
                </c:pt>
                <c:pt idx="1">
                  <c:v>4</c:v>
                </c:pt>
              </c:numCache>
            </c:numRef>
          </c:val>
          <c:extLst>
            <c:ext xmlns:c16="http://schemas.microsoft.com/office/drawing/2014/chart" uri="{C3380CC4-5D6E-409C-BE32-E72D297353CC}">
              <c16:uniqueId val="{00000000-98E8-495E-9005-C70ED0B2DAB0}"/>
            </c:ext>
          </c:extLst>
        </c:ser>
        <c:ser>
          <c:idx val="1"/>
          <c:order val="1"/>
          <c:tx>
            <c:strRef>
              <c:f>Sheet3!$G$3:$G$4</c:f>
              <c:strCache>
                <c:ptCount val="1"/>
                <c:pt idx="0">
                  <c:v>Neha Gupta</c:v>
                </c:pt>
              </c:strCache>
            </c:strRef>
          </c:tx>
          <c:spPr>
            <a:solidFill>
              <a:schemeClr val="accent2"/>
            </a:solidFill>
            <a:ln>
              <a:noFill/>
            </a:ln>
            <a:effectLst/>
          </c:spPr>
          <c:invertIfNegative val="0"/>
          <c:cat>
            <c:strRef>
              <c:f>Sheet3!$E$5:$E$8</c:f>
              <c:strCache>
                <c:ptCount val="3"/>
                <c:pt idx="0">
                  <c:v>P001</c:v>
                </c:pt>
                <c:pt idx="1">
                  <c:v>P002</c:v>
                </c:pt>
                <c:pt idx="2">
                  <c:v>P003</c:v>
                </c:pt>
              </c:strCache>
            </c:strRef>
          </c:cat>
          <c:val>
            <c:numRef>
              <c:f>Sheet3!$G$5:$G$8</c:f>
              <c:numCache>
                <c:formatCode>General</c:formatCode>
                <c:ptCount val="3"/>
                <c:pt idx="0">
                  <c:v>1</c:v>
                </c:pt>
                <c:pt idx="1">
                  <c:v>3</c:v>
                </c:pt>
              </c:numCache>
            </c:numRef>
          </c:val>
          <c:extLst>
            <c:ext xmlns:c16="http://schemas.microsoft.com/office/drawing/2014/chart" uri="{C3380CC4-5D6E-409C-BE32-E72D297353CC}">
              <c16:uniqueId val="{00000006-98E8-495E-9005-C70ED0B2DAB0}"/>
            </c:ext>
          </c:extLst>
        </c:ser>
        <c:ser>
          <c:idx val="2"/>
          <c:order val="2"/>
          <c:tx>
            <c:strRef>
              <c:f>Sheet3!$H$3:$H$4</c:f>
              <c:strCache>
                <c:ptCount val="1"/>
                <c:pt idx="0">
                  <c:v>Priya Singh</c:v>
                </c:pt>
              </c:strCache>
            </c:strRef>
          </c:tx>
          <c:spPr>
            <a:solidFill>
              <a:schemeClr val="accent3"/>
            </a:solidFill>
            <a:ln>
              <a:noFill/>
            </a:ln>
            <a:effectLst/>
          </c:spPr>
          <c:invertIfNegative val="0"/>
          <c:cat>
            <c:strRef>
              <c:f>Sheet3!$E$5:$E$8</c:f>
              <c:strCache>
                <c:ptCount val="3"/>
                <c:pt idx="0">
                  <c:v>P001</c:v>
                </c:pt>
                <c:pt idx="1">
                  <c:v>P002</c:v>
                </c:pt>
                <c:pt idx="2">
                  <c:v>P003</c:v>
                </c:pt>
              </c:strCache>
            </c:strRef>
          </c:cat>
          <c:val>
            <c:numRef>
              <c:f>Sheet3!$H$5:$H$8</c:f>
              <c:numCache>
                <c:formatCode>General</c:formatCode>
                <c:ptCount val="3"/>
                <c:pt idx="0">
                  <c:v>2</c:v>
                </c:pt>
                <c:pt idx="1">
                  <c:v>5</c:v>
                </c:pt>
              </c:numCache>
            </c:numRef>
          </c:val>
          <c:extLst>
            <c:ext xmlns:c16="http://schemas.microsoft.com/office/drawing/2014/chart" uri="{C3380CC4-5D6E-409C-BE32-E72D297353CC}">
              <c16:uniqueId val="{00000007-98E8-495E-9005-C70ED0B2DAB0}"/>
            </c:ext>
          </c:extLst>
        </c:ser>
        <c:ser>
          <c:idx val="3"/>
          <c:order val="3"/>
          <c:tx>
            <c:strRef>
              <c:f>Sheet3!$I$3:$I$4</c:f>
              <c:strCache>
                <c:ptCount val="1"/>
                <c:pt idx="0">
                  <c:v>Rahul Verma</c:v>
                </c:pt>
              </c:strCache>
            </c:strRef>
          </c:tx>
          <c:spPr>
            <a:solidFill>
              <a:schemeClr val="accent4"/>
            </a:solidFill>
            <a:ln>
              <a:noFill/>
            </a:ln>
            <a:effectLst/>
          </c:spPr>
          <c:invertIfNegative val="0"/>
          <c:cat>
            <c:strRef>
              <c:f>Sheet3!$E$5:$E$8</c:f>
              <c:strCache>
                <c:ptCount val="3"/>
                <c:pt idx="0">
                  <c:v>P001</c:v>
                </c:pt>
                <c:pt idx="1">
                  <c:v>P002</c:v>
                </c:pt>
                <c:pt idx="2">
                  <c:v>P003</c:v>
                </c:pt>
              </c:strCache>
            </c:strRef>
          </c:cat>
          <c:val>
            <c:numRef>
              <c:f>Sheet3!$I$5:$I$8</c:f>
              <c:numCache>
                <c:formatCode>General</c:formatCode>
                <c:ptCount val="3"/>
                <c:pt idx="0">
                  <c:v>1</c:v>
                </c:pt>
                <c:pt idx="2">
                  <c:v>3</c:v>
                </c:pt>
              </c:numCache>
            </c:numRef>
          </c:val>
          <c:extLst>
            <c:ext xmlns:c16="http://schemas.microsoft.com/office/drawing/2014/chart" uri="{C3380CC4-5D6E-409C-BE32-E72D297353CC}">
              <c16:uniqueId val="{00000008-98E8-495E-9005-C70ED0B2DAB0}"/>
            </c:ext>
          </c:extLst>
        </c:ser>
        <c:ser>
          <c:idx val="4"/>
          <c:order val="4"/>
          <c:tx>
            <c:strRef>
              <c:f>Sheet3!$J$3:$J$4</c:f>
              <c:strCache>
                <c:ptCount val="1"/>
                <c:pt idx="0">
                  <c:v>Rohit Jain</c:v>
                </c:pt>
              </c:strCache>
            </c:strRef>
          </c:tx>
          <c:spPr>
            <a:solidFill>
              <a:schemeClr val="accent5"/>
            </a:solidFill>
            <a:ln>
              <a:noFill/>
            </a:ln>
            <a:effectLst/>
          </c:spPr>
          <c:invertIfNegative val="0"/>
          <c:cat>
            <c:strRef>
              <c:f>Sheet3!$E$5:$E$8</c:f>
              <c:strCache>
                <c:ptCount val="3"/>
                <c:pt idx="0">
                  <c:v>P001</c:v>
                </c:pt>
                <c:pt idx="1">
                  <c:v>P002</c:v>
                </c:pt>
                <c:pt idx="2">
                  <c:v>P003</c:v>
                </c:pt>
              </c:strCache>
            </c:strRef>
          </c:cat>
          <c:val>
            <c:numRef>
              <c:f>Sheet3!$J$5:$J$8</c:f>
              <c:numCache>
                <c:formatCode>General</c:formatCode>
                <c:ptCount val="3"/>
                <c:pt idx="1">
                  <c:v>2</c:v>
                </c:pt>
                <c:pt idx="2">
                  <c:v>6</c:v>
                </c:pt>
              </c:numCache>
            </c:numRef>
          </c:val>
          <c:extLst>
            <c:ext xmlns:c16="http://schemas.microsoft.com/office/drawing/2014/chart" uri="{C3380CC4-5D6E-409C-BE32-E72D297353CC}">
              <c16:uniqueId val="{00000009-98E8-495E-9005-C70ED0B2DAB0}"/>
            </c:ext>
          </c:extLst>
        </c:ser>
        <c:dLbls>
          <c:showLegendKey val="0"/>
          <c:showVal val="0"/>
          <c:showCatName val="0"/>
          <c:showSerName val="0"/>
          <c:showPercent val="0"/>
          <c:showBubbleSize val="0"/>
        </c:dLbls>
        <c:gapWidth val="182"/>
        <c:axId val="350337344"/>
        <c:axId val="350321024"/>
      </c:barChart>
      <c:catAx>
        <c:axId val="35033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21024"/>
        <c:crosses val="autoZero"/>
        <c:auto val="1"/>
        <c:lblAlgn val="ctr"/>
        <c:lblOffset val="100"/>
        <c:noMultiLvlLbl val="0"/>
      </c:catAx>
      <c:valAx>
        <c:axId val="35032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33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236220</xdr:colOff>
      <xdr:row>9</xdr:row>
      <xdr:rowOff>175260</xdr:rowOff>
    </xdr:from>
    <xdr:to>
      <xdr:col>3</xdr:col>
      <xdr:colOff>251460</xdr:colOff>
      <xdr:row>23</xdr:row>
      <xdr:rowOff>81915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1DA9150E-E1F8-6CA2-907B-865C745F8A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97280" y="1821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xdr:colOff>
      <xdr:row>9</xdr:row>
      <xdr:rowOff>121920</xdr:rowOff>
    </xdr:from>
    <xdr:to>
      <xdr:col>9</xdr:col>
      <xdr:colOff>243840</xdr:colOff>
      <xdr:row>24</xdr:row>
      <xdr:rowOff>121920</xdr:rowOff>
    </xdr:to>
    <xdr:graphicFrame macro="">
      <xdr:nvGraphicFramePr>
        <xdr:cNvPr id="3" name="Chart 2">
          <a:extLst>
            <a:ext uri="{FF2B5EF4-FFF2-40B4-BE49-F238E27FC236}">
              <a16:creationId xmlns:a16="http://schemas.microsoft.com/office/drawing/2014/main" id="{173D5A25-9339-81E6-66BB-2FEA6C79C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1.945373379633" createdVersion="8" refreshedVersion="8" minRefreshableVersion="3" recordCount="10" xr:uid="{FDB8B868-6FD2-4C41-A954-2BFEBFB9FE12}">
  <cacheSource type="worksheet">
    <worksheetSource ref="A1:I11" sheet="Sheet1"/>
  </cacheSource>
  <cacheFields count="9">
    <cacheField name="Order ID" numFmtId="0">
      <sharedItems/>
    </cacheField>
    <cacheField name="Salesperson" numFmtId="0">
      <sharedItems count="5">
        <s v="Amit Sharma"/>
        <s v="Priya Singh"/>
        <s v="Rahul Verma"/>
        <s v="Neha Gupta"/>
        <s v="Rohit Jain"/>
      </sharedItems>
    </cacheField>
    <cacheField name="City" numFmtId="0">
      <sharedItems count="5">
        <s v="Delhi"/>
        <s v="Mumbai"/>
        <s v="Chennai"/>
        <s v="Pune"/>
        <s v="Jaipur"/>
      </sharedItems>
    </cacheField>
    <cacheField name="ProductID" numFmtId="0">
      <sharedItems count="3">
        <s v="P001"/>
        <s v="P002"/>
        <s v="P003"/>
      </sharedItems>
    </cacheField>
    <cacheField name="Product Name" numFmtId="0">
      <sharedItems/>
    </cacheField>
    <cacheField name="Category" numFmtId="0">
      <sharedItems/>
    </cacheField>
    <cacheField name="Quantity" numFmtId="0">
      <sharedItems containsSemiMixedTypes="0" containsString="0" containsNumber="1" containsInteger="1" minValue="1" maxValue="6"/>
    </cacheField>
    <cacheField name="Actual Price" numFmtId="0">
      <sharedItems containsSemiMixedTypes="0" containsString="0" containsNumber="1" containsInteger="1" minValue="17500" maxValue="45000"/>
    </cacheField>
    <cacheField name="Discount%"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2141699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001"/>
    <x v="0"/>
    <x v="0"/>
    <x v="0"/>
    <s v="Laptop"/>
    <s v="Electronics"/>
    <n v="2"/>
    <n v="43000"/>
    <n v="5"/>
  </r>
  <r>
    <s v="ORD-002"/>
    <x v="1"/>
    <x v="1"/>
    <x v="1"/>
    <s v="Smartphone"/>
    <s v="Electronics"/>
    <n v="5"/>
    <n v="17500"/>
    <n v="3"/>
  </r>
  <r>
    <s v="ORD-003"/>
    <x v="2"/>
    <x v="2"/>
    <x v="2"/>
    <s v="Printer"/>
    <s v="Office Equipment"/>
    <n v="3"/>
    <n v="21000"/>
    <n v="5"/>
  </r>
  <r>
    <s v="ORD-004"/>
    <x v="3"/>
    <x v="3"/>
    <x v="0"/>
    <s v="Laptop"/>
    <s v="Electronics"/>
    <n v="1"/>
    <n v="45000"/>
    <n v="0"/>
  </r>
  <r>
    <s v="ORD-005"/>
    <x v="0"/>
    <x v="0"/>
    <x v="1"/>
    <s v="Smartphone"/>
    <s v="Electronics"/>
    <n v="4"/>
    <n v="18000"/>
    <n v="0"/>
  </r>
  <r>
    <s v="ORD-006"/>
    <x v="1"/>
    <x v="1"/>
    <x v="0"/>
    <s v="Laptop"/>
    <s v="Electronics"/>
    <n v="2"/>
    <n v="44000"/>
    <n v="2"/>
  </r>
  <r>
    <s v="ORD-007"/>
    <x v="4"/>
    <x v="4"/>
    <x v="2"/>
    <s v="Printer"/>
    <s v="Office Equipment"/>
    <n v="6"/>
    <n v="22000"/>
    <n v="0"/>
  </r>
  <r>
    <s v="ORD-008"/>
    <x v="3"/>
    <x v="3"/>
    <x v="1"/>
    <s v="Smartphone"/>
    <s v="Electronics"/>
    <n v="3"/>
    <n v="17800"/>
    <n v="2"/>
  </r>
  <r>
    <s v="ORD-009"/>
    <x v="2"/>
    <x v="2"/>
    <x v="0"/>
    <s v="Laptop"/>
    <s v="Electronics"/>
    <n v="1"/>
    <n v="45000"/>
    <n v="0"/>
  </r>
  <r>
    <s v="ORD-010"/>
    <x v="4"/>
    <x v="4"/>
    <x v="1"/>
    <s v="Smartphone"/>
    <s v="Electronics"/>
    <n v="2"/>
    <n v="1800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49EB01-A30D-4D21-9CEA-9FD11818643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K8" firstHeaderRow="1" firstDataRow="2" firstDataCol="1"/>
  <pivotFields count="9">
    <pivotField showAll="0"/>
    <pivotField axis="axisCol" showAll="0">
      <items count="6">
        <item x="0"/>
        <item x="3"/>
        <item x="1"/>
        <item x="2"/>
        <item x="4"/>
        <item t="default"/>
      </items>
    </pivotField>
    <pivotField showAll="0">
      <items count="6">
        <item x="2"/>
        <item x="0"/>
        <item x="4"/>
        <item x="1"/>
        <item x="3"/>
        <item t="default"/>
      </items>
    </pivotField>
    <pivotField axis="axisRow" showAll="0">
      <items count="4">
        <item x="0"/>
        <item x="1"/>
        <item x="2"/>
        <item t="default"/>
      </items>
    </pivotField>
    <pivotField showAll="0"/>
    <pivotField showAll="0"/>
    <pivotField dataField="1" showAll="0"/>
    <pivotField showAll="0"/>
    <pivotField showAll="0"/>
  </pivotFields>
  <rowFields count="1">
    <field x="3"/>
  </rowFields>
  <rowItems count="4">
    <i>
      <x/>
    </i>
    <i>
      <x v="1"/>
    </i>
    <i>
      <x v="2"/>
    </i>
    <i t="grand">
      <x/>
    </i>
  </rowItems>
  <colFields count="1">
    <field x="1"/>
  </colFields>
  <colItems count="6">
    <i>
      <x/>
    </i>
    <i>
      <x v="1"/>
    </i>
    <i>
      <x v="2"/>
    </i>
    <i>
      <x v="3"/>
    </i>
    <i>
      <x v="4"/>
    </i>
    <i t="grand">
      <x/>
    </i>
  </colItems>
  <dataFields count="1">
    <dataField name="Sum of Quantity" fld="6"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Dark7"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12BF5-8F3A-4DD9-B641-4CD8BBAA2AA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showAll="0"/>
    <pivotField axis="axisRow" showAll="0">
      <items count="6">
        <item x="2"/>
        <item x="0"/>
        <item x="4"/>
        <item x="1"/>
        <item x="3"/>
        <item t="default"/>
      </items>
    </pivotField>
    <pivotField showAll="0"/>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2CA5C3B-2F8B-4EA4-B47A-D099714AB6D2}" sourceName="City">
  <pivotTables>
    <pivotTable tabId="3" name="PivotTable2"/>
  </pivotTables>
  <data>
    <tabular pivotCacheId="2141699814">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15184A2-1F55-42F5-8F0E-366778D974C7}"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F516-6DD5-48A7-97C4-5D71C75B6A44}">
  <dimension ref="A3:K9"/>
  <sheetViews>
    <sheetView workbookViewId="0">
      <selection activeCell="B33" sqref="B33"/>
    </sheetView>
  </sheetViews>
  <sheetFormatPr defaultRowHeight="14.4" x14ac:dyDescent="0.3"/>
  <cols>
    <col min="1" max="1" width="12.5546875" bestFit="1" customWidth="1"/>
    <col min="2" max="2" width="17.5546875" bestFit="1" customWidth="1"/>
    <col min="5" max="5" width="14.88671875" bestFit="1" customWidth="1"/>
    <col min="6" max="6" width="15.5546875" bestFit="1" customWidth="1"/>
    <col min="7" max="7" width="11" bestFit="1" customWidth="1"/>
    <col min="8" max="8" width="10.33203125" bestFit="1" customWidth="1"/>
    <col min="9" max="9" width="11.77734375" bestFit="1" customWidth="1"/>
    <col min="10" max="10" width="9.109375" bestFit="1" customWidth="1"/>
    <col min="11" max="11" width="10.77734375" bestFit="1" customWidth="1"/>
  </cols>
  <sheetData>
    <row r="3" spans="1:11" x14ac:dyDescent="0.3">
      <c r="A3" s="2" t="s">
        <v>61</v>
      </c>
      <c r="B3" t="s">
        <v>63</v>
      </c>
      <c r="E3" s="2" t="s">
        <v>65</v>
      </c>
      <c r="F3" s="2" t="s">
        <v>64</v>
      </c>
    </row>
    <row r="4" spans="1:11" x14ac:dyDescent="0.3">
      <c r="A4" s="3" t="s">
        <v>17</v>
      </c>
      <c r="B4" s="4">
        <v>66000</v>
      </c>
      <c r="E4" s="2" t="s">
        <v>61</v>
      </c>
      <c r="F4" t="s">
        <v>8</v>
      </c>
      <c r="G4" t="s">
        <v>20</v>
      </c>
      <c r="H4" t="s">
        <v>12</v>
      </c>
      <c r="I4" t="s">
        <v>16</v>
      </c>
      <c r="J4" t="s">
        <v>25</v>
      </c>
      <c r="K4" t="s">
        <v>62</v>
      </c>
    </row>
    <row r="5" spans="1:11" x14ac:dyDescent="0.3">
      <c r="A5" s="3" t="s">
        <v>9</v>
      </c>
      <c r="B5" s="4">
        <v>61000</v>
      </c>
      <c r="E5" s="3" t="s">
        <v>10</v>
      </c>
      <c r="F5" s="4">
        <v>2</v>
      </c>
      <c r="G5" s="4">
        <v>1</v>
      </c>
      <c r="H5" s="4">
        <v>2</v>
      </c>
      <c r="I5" s="4">
        <v>1</v>
      </c>
      <c r="J5" s="4"/>
      <c r="K5" s="4">
        <v>6</v>
      </c>
    </row>
    <row r="6" spans="1:11" x14ac:dyDescent="0.3">
      <c r="A6" s="3" t="s">
        <v>26</v>
      </c>
      <c r="B6" s="4">
        <v>40000</v>
      </c>
      <c r="E6" s="3" t="s">
        <v>14</v>
      </c>
      <c r="F6" s="4">
        <v>4</v>
      </c>
      <c r="G6" s="4">
        <v>3</v>
      </c>
      <c r="H6" s="4">
        <v>5</v>
      </c>
      <c r="I6" s="4"/>
      <c r="J6" s="4">
        <v>2</v>
      </c>
      <c r="K6" s="4">
        <v>14</v>
      </c>
    </row>
    <row r="7" spans="1:11" x14ac:dyDescent="0.3">
      <c r="A7" s="3" t="s">
        <v>13</v>
      </c>
      <c r="B7" s="4">
        <v>61500</v>
      </c>
      <c r="E7" s="3" t="s">
        <v>18</v>
      </c>
      <c r="F7" s="4"/>
      <c r="G7" s="4"/>
      <c r="H7" s="4"/>
      <c r="I7" s="4">
        <v>3</v>
      </c>
      <c r="J7" s="4">
        <v>6</v>
      </c>
      <c r="K7" s="4">
        <v>9</v>
      </c>
    </row>
    <row r="8" spans="1:11" x14ac:dyDescent="0.3">
      <c r="A8" s="3" t="s">
        <v>21</v>
      </c>
      <c r="B8" s="4">
        <v>62800</v>
      </c>
      <c r="E8" s="3" t="s">
        <v>62</v>
      </c>
      <c r="F8" s="4">
        <v>6</v>
      </c>
      <c r="G8" s="4">
        <v>4</v>
      </c>
      <c r="H8" s="4">
        <v>7</v>
      </c>
      <c r="I8" s="4">
        <v>4</v>
      </c>
      <c r="J8" s="4">
        <v>8</v>
      </c>
      <c r="K8" s="4">
        <v>29</v>
      </c>
    </row>
    <row r="9" spans="1:11" x14ac:dyDescent="0.3">
      <c r="A9" s="3" t="s">
        <v>62</v>
      </c>
      <c r="B9" s="4">
        <v>291300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54C0-1AB5-4BB7-95BA-F1E0DBFCE1C8}">
  <dimension ref="A1:M15"/>
  <sheetViews>
    <sheetView zoomScale="65" zoomScaleNormal="65" workbookViewId="0">
      <selection activeCell="F6" sqref="F6"/>
    </sheetView>
  </sheetViews>
  <sheetFormatPr defaultColWidth="20.77734375" defaultRowHeight="19.95" customHeight="1" x14ac:dyDescent="0.3"/>
  <cols>
    <col min="1" max="16384" width="20.77734375" style="1"/>
  </cols>
  <sheetData>
    <row r="1" spans="1:13" ht="19.95" customHeight="1" x14ac:dyDescent="0.3">
      <c r="A1" s="1" t="s">
        <v>0</v>
      </c>
      <c r="B1" s="1" t="s">
        <v>1</v>
      </c>
      <c r="C1" s="1" t="s">
        <v>2</v>
      </c>
      <c r="D1" s="1" t="s">
        <v>3</v>
      </c>
      <c r="E1" s="1" t="s">
        <v>30</v>
      </c>
      <c r="F1" s="1" t="s">
        <v>32</v>
      </c>
      <c r="G1" s="1" t="s">
        <v>4</v>
      </c>
      <c r="H1" s="1" t="s">
        <v>5</v>
      </c>
      <c r="I1" s="1" t="s">
        <v>6</v>
      </c>
      <c r="K1" s="1" t="s">
        <v>55</v>
      </c>
      <c r="M1" s="1" t="s">
        <v>56</v>
      </c>
    </row>
    <row r="2" spans="1:13" ht="19.95" customHeight="1" x14ac:dyDescent="0.3">
      <c r="A2" s="1" t="s">
        <v>7</v>
      </c>
      <c r="B2" s="1" t="s">
        <v>8</v>
      </c>
      <c r="C2" s="1" t="s">
        <v>9</v>
      </c>
      <c r="D2" s="1" t="s">
        <v>10</v>
      </c>
      <c r="E2" s="1" t="s">
        <v>34</v>
      </c>
      <c r="F2" s="1" t="str">
        <f>IFERROR(VLOOKUP(D2,Sheet2!$A$2:$D$11,3,TRUE), "Not Found")</f>
        <v>Electronics</v>
      </c>
      <c r="G2" s="1">
        <v>2</v>
      </c>
      <c r="H2" s="1">
        <v>43000</v>
      </c>
      <c r="I2" s="1">
        <v>5</v>
      </c>
      <c r="K2" s="1" t="str">
        <f>IFERROR(INDEX(Sheet2!$B$2:$B$11,  MATCH(D2, Sheet2!$A$2:$A$11,0 )),"Not Found")</f>
        <v>Laptop</v>
      </c>
      <c r="M2" s="1">
        <f>COUNTIF(B2:B11,"Amit Sharma")</f>
        <v>2</v>
      </c>
    </row>
    <row r="3" spans="1:13" ht="19.95" customHeight="1" x14ac:dyDescent="0.3">
      <c r="A3" s="1" t="s">
        <v>11</v>
      </c>
      <c r="B3" s="1" t="s">
        <v>12</v>
      </c>
      <c r="C3" s="1" t="s">
        <v>13</v>
      </c>
      <c r="D3" s="1" t="s">
        <v>14</v>
      </c>
      <c r="E3" s="1" t="s">
        <v>36</v>
      </c>
      <c r="F3" s="1" t="str">
        <f>IFERROR(VLOOKUP(D3,Sheet2!$A$2:$D$11,3,TRUE), "Not Found")</f>
        <v>Electronics</v>
      </c>
      <c r="G3" s="1">
        <v>5</v>
      </c>
      <c r="H3" s="1">
        <v>17500</v>
      </c>
      <c r="I3" s="1">
        <v>3</v>
      </c>
      <c r="K3" s="1" t="str">
        <f>IFERROR(INDEX(Sheet2!$B$2:$B$11,  MATCH(D3, Sheet2!$A$2:$A$11,0 )),"Not Found")</f>
        <v>Smartphone</v>
      </c>
    </row>
    <row r="4" spans="1:13" ht="19.95" customHeight="1" x14ac:dyDescent="0.3">
      <c r="A4" s="1" t="s">
        <v>15</v>
      </c>
      <c r="B4" s="1" t="s">
        <v>16</v>
      </c>
      <c r="C4" s="1" t="s">
        <v>17</v>
      </c>
      <c r="D4" s="1" t="s">
        <v>18</v>
      </c>
      <c r="E4" s="1" t="s">
        <v>37</v>
      </c>
      <c r="F4" s="1" t="str">
        <f>IFERROR(VLOOKUP(D4,Sheet2!$A$2:$D$11,3,TRUE), "Not Found")</f>
        <v>Office Equipment</v>
      </c>
      <c r="G4" s="1">
        <v>3</v>
      </c>
      <c r="H4" s="1">
        <v>21000</v>
      </c>
      <c r="I4" s="1">
        <v>5</v>
      </c>
      <c r="K4" s="1" t="str">
        <f>IFERROR(INDEX(Sheet2!$B$2:$B$11,  MATCH(D4, Sheet2!$A$2:$A$11,0 )),"Not Found")</f>
        <v>Printer</v>
      </c>
    </row>
    <row r="5" spans="1:13" ht="19.95" customHeight="1" x14ac:dyDescent="0.3">
      <c r="A5" s="1" t="s">
        <v>19</v>
      </c>
      <c r="B5" s="1" t="s">
        <v>20</v>
      </c>
      <c r="C5" s="1" t="s">
        <v>21</v>
      </c>
      <c r="D5" s="1" t="s">
        <v>10</v>
      </c>
      <c r="E5" s="1" t="s">
        <v>34</v>
      </c>
      <c r="F5" s="1" t="str">
        <f>IFERROR(VLOOKUP(D5,Sheet2!$A$2:$D$11,3,TRUE), "Not Found")</f>
        <v>Electronics</v>
      </c>
      <c r="G5" s="1">
        <v>1</v>
      </c>
      <c r="H5" s="1">
        <v>45000</v>
      </c>
      <c r="I5" s="1">
        <v>0</v>
      </c>
      <c r="K5" s="1" t="str">
        <f>IFERROR(INDEX(Sheet2!$B$2:$B$11,  MATCH(D5, Sheet2!$A$2:$A$11,0 )),"Not Found")</f>
        <v>Laptop</v>
      </c>
      <c r="M5" s="1" t="s">
        <v>57</v>
      </c>
    </row>
    <row r="6" spans="1:13" ht="19.95" customHeight="1" x14ac:dyDescent="0.3">
      <c r="A6" s="1" t="s">
        <v>22</v>
      </c>
      <c r="B6" s="1" t="s">
        <v>8</v>
      </c>
      <c r="C6" s="1" t="s">
        <v>9</v>
      </c>
      <c r="D6" s="1" t="s">
        <v>14</v>
      </c>
      <c r="E6" s="1" t="s">
        <v>36</v>
      </c>
      <c r="F6" s="1" t="str">
        <f>IFERROR(VLOOKUP(D6,Sheet2!$A$2:$D$11,3,TRUE), "Not Found")</f>
        <v>Electronics</v>
      </c>
      <c r="G6" s="1">
        <v>4</v>
      </c>
      <c r="H6" s="1">
        <v>18000</v>
      </c>
      <c r="I6" s="1">
        <v>0</v>
      </c>
      <c r="K6" s="1" t="str">
        <f>IFERROR(INDEX(Sheet2!$B$2:$B$11,  MATCH(D6, Sheet2!$A$2:$A$11,0 )),"Not Found")</f>
        <v>Smartphone</v>
      </c>
      <c r="M6" s="1">
        <f>COUNTIF(G2:G11, "&gt;3")</f>
        <v>3</v>
      </c>
    </row>
    <row r="7" spans="1:13" ht="19.95" customHeight="1" x14ac:dyDescent="0.3">
      <c r="A7" s="1" t="s">
        <v>23</v>
      </c>
      <c r="B7" s="1" t="s">
        <v>12</v>
      </c>
      <c r="C7" s="1" t="s">
        <v>13</v>
      </c>
      <c r="D7" s="1" t="s">
        <v>10</v>
      </c>
      <c r="E7" s="1" t="s">
        <v>34</v>
      </c>
      <c r="F7" s="1" t="str">
        <f>IFERROR(VLOOKUP(D7,Sheet2!$A$2:$D$11,3,TRUE), "Not Found")</f>
        <v>Electronics</v>
      </c>
      <c r="G7" s="1">
        <v>2</v>
      </c>
      <c r="H7" s="1">
        <v>44000</v>
      </c>
      <c r="I7" s="1">
        <v>2</v>
      </c>
      <c r="K7" s="1" t="str">
        <f>IFERROR(INDEX(Sheet2!$B$2:$B$11,  MATCH(D7, Sheet2!$A$2:$A$11,0 )),"Not Found")</f>
        <v>Laptop</v>
      </c>
    </row>
    <row r="8" spans="1:13" ht="19.95" customHeight="1" x14ac:dyDescent="0.3">
      <c r="A8" s="1" t="s">
        <v>24</v>
      </c>
      <c r="B8" s="1" t="s">
        <v>25</v>
      </c>
      <c r="C8" s="1" t="s">
        <v>26</v>
      </c>
      <c r="D8" s="1" t="s">
        <v>18</v>
      </c>
      <c r="E8" s="1" t="s">
        <v>37</v>
      </c>
      <c r="F8" s="1" t="str">
        <f>IFERROR(VLOOKUP(D8,Sheet2!$A$2:$D$11,3,TRUE), "Not Found")</f>
        <v>Office Equipment</v>
      </c>
      <c r="G8" s="1">
        <v>6</v>
      </c>
      <c r="H8" s="1">
        <v>22000</v>
      </c>
      <c r="I8" s="1">
        <v>0</v>
      </c>
      <c r="K8" s="1" t="str">
        <f>IFERROR(INDEX(Sheet2!$B$2:$B$11,  MATCH(D8, Sheet2!$A$2:$A$11,0 )),"Not Found")</f>
        <v>Printer</v>
      </c>
      <c r="M8" s="1" t="s">
        <v>58</v>
      </c>
    </row>
    <row r="9" spans="1:13" ht="19.95" customHeight="1" x14ac:dyDescent="0.3">
      <c r="A9" s="1" t="s">
        <v>27</v>
      </c>
      <c r="B9" s="1" t="s">
        <v>20</v>
      </c>
      <c r="C9" s="1" t="s">
        <v>21</v>
      </c>
      <c r="D9" s="1" t="s">
        <v>14</v>
      </c>
      <c r="E9" s="1" t="s">
        <v>36</v>
      </c>
      <c r="F9" s="1" t="str">
        <f>IFERROR(VLOOKUP(D9,Sheet2!$A$2:$D$11,3,TRUE), "Not Found")</f>
        <v>Electronics</v>
      </c>
      <c r="G9" s="1">
        <v>3</v>
      </c>
      <c r="H9" s="1">
        <v>17800</v>
      </c>
      <c r="I9" s="1">
        <v>2</v>
      </c>
      <c r="K9" s="1" t="str">
        <f>IFERROR(INDEX(Sheet2!$B$2:$B$11,  MATCH(D9, Sheet2!$A$2:$A$11,0 )),"Not Found")</f>
        <v>Smartphone</v>
      </c>
      <c r="M9" s="1">
        <f>SUMIF(C2:C11, "Delhi",H2:H11)</f>
        <v>61000</v>
      </c>
    </row>
    <row r="10" spans="1:13" ht="19.95" customHeight="1" x14ac:dyDescent="0.3">
      <c r="A10" s="1" t="s">
        <v>28</v>
      </c>
      <c r="B10" s="1" t="s">
        <v>16</v>
      </c>
      <c r="C10" s="1" t="s">
        <v>17</v>
      </c>
      <c r="D10" s="1" t="s">
        <v>10</v>
      </c>
      <c r="E10" s="1" t="s">
        <v>34</v>
      </c>
      <c r="F10" s="1" t="str">
        <f>IFERROR(VLOOKUP(D10,Sheet2!$A$2:$D$11,3,TRUE), "Not Found")</f>
        <v>Electronics</v>
      </c>
      <c r="G10" s="1">
        <v>1</v>
      </c>
      <c r="H10" s="1">
        <v>45000</v>
      </c>
      <c r="I10" s="1">
        <v>0</v>
      </c>
      <c r="K10" s="1" t="str">
        <f>IFERROR(INDEX(Sheet2!$B$2:$B$11,  MATCH(D10, Sheet2!$A$2:$A$11,0 )),"Not Found")</f>
        <v>Laptop</v>
      </c>
    </row>
    <row r="11" spans="1:13" ht="19.95" customHeight="1" x14ac:dyDescent="0.3">
      <c r="A11" s="1" t="s">
        <v>29</v>
      </c>
      <c r="B11" s="1" t="s">
        <v>25</v>
      </c>
      <c r="C11" s="1" t="s">
        <v>26</v>
      </c>
      <c r="D11" s="1" t="s">
        <v>14</v>
      </c>
      <c r="E11" s="1" t="s">
        <v>36</v>
      </c>
      <c r="F11" s="1" t="str">
        <f>IFERROR(VLOOKUP(D11,Sheet2!$A$2:$D$11,3,TRUE), "Not Found")</f>
        <v>Electronics</v>
      </c>
      <c r="G11" s="1">
        <v>2</v>
      </c>
      <c r="H11" s="1">
        <v>18000</v>
      </c>
      <c r="I11" s="1">
        <v>5</v>
      </c>
      <c r="K11" s="1" t="str">
        <f>IFERROR(INDEX(Sheet2!$B$2:$B$11,  MATCH(D11, Sheet2!$A$2:$A$11,0 )),"Not Found")</f>
        <v>Smartphone</v>
      </c>
      <c r="M11" s="1" t="s">
        <v>59</v>
      </c>
    </row>
    <row r="12" spans="1:13" ht="19.95" customHeight="1" x14ac:dyDescent="0.3">
      <c r="M12" s="1">
        <f>SUMIF(D2:D11, "P001", G2:G11)</f>
        <v>6</v>
      </c>
    </row>
    <row r="14" spans="1:13" ht="19.95" customHeight="1" x14ac:dyDescent="0.3">
      <c r="M14" s="1" t="s">
        <v>60</v>
      </c>
    </row>
    <row r="15" spans="1:13" ht="19.95" customHeight="1" x14ac:dyDescent="0.3">
      <c r="M15" s="1">
        <f>COUNTIFS(C2:C11,"Mumbai",G2:G11,"&gt;2")</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D137-14EE-49C5-8A71-DCA3ED34054D}">
  <dimension ref="A1:D11"/>
  <sheetViews>
    <sheetView tabSelected="1" workbookViewId="0">
      <selection activeCell="E10" sqref="E10"/>
    </sheetView>
  </sheetViews>
  <sheetFormatPr defaultColWidth="20.77734375" defaultRowHeight="19.95" customHeight="1" x14ac:dyDescent="0.3"/>
  <cols>
    <col min="1" max="16384" width="20.77734375" style="1"/>
  </cols>
  <sheetData>
    <row r="1" spans="1:4" ht="19.95" customHeight="1" x14ac:dyDescent="0.3">
      <c r="A1" s="1" t="s">
        <v>3</v>
      </c>
      <c r="B1" s="1" t="s">
        <v>31</v>
      </c>
      <c r="C1" s="1" t="s">
        <v>32</v>
      </c>
      <c r="D1" s="1" t="s">
        <v>33</v>
      </c>
    </row>
    <row r="2" spans="1:4" ht="19.95" customHeight="1" x14ac:dyDescent="0.3">
      <c r="A2" s="1" t="s">
        <v>10</v>
      </c>
      <c r="B2" s="1" t="s">
        <v>34</v>
      </c>
      <c r="C2" s="1" t="s">
        <v>35</v>
      </c>
      <c r="D2" s="1">
        <v>45000</v>
      </c>
    </row>
    <row r="3" spans="1:4" ht="19.95" customHeight="1" x14ac:dyDescent="0.3">
      <c r="A3" s="1" t="s">
        <v>14</v>
      </c>
      <c r="B3" s="1" t="s">
        <v>36</v>
      </c>
      <c r="C3" s="1" t="s">
        <v>35</v>
      </c>
      <c r="D3" s="1">
        <v>18000</v>
      </c>
    </row>
    <row r="4" spans="1:4" ht="19.95" customHeight="1" x14ac:dyDescent="0.3">
      <c r="A4" s="1" t="s">
        <v>18</v>
      </c>
      <c r="B4" s="1" t="s">
        <v>37</v>
      </c>
      <c r="C4" s="1" t="s">
        <v>38</v>
      </c>
      <c r="D4" s="1">
        <v>22000</v>
      </c>
    </row>
    <row r="5" spans="1:4" ht="19.95" customHeight="1" x14ac:dyDescent="0.3">
      <c r="A5" s="1" t="s">
        <v>39</v>
      </c>
      <c r="B5" s="1" t="s">
        <v>40</v>
      </c>
      <c r="C5" s="1" t="s">
        <v>35</v>
      </c>
      <c r="D5" s="1">
        <v>25000</v>
      </c>
    </row>
    <row r="6" spans="1:4" ht="19.95" customHeight="1" x14ac:dyDescent="0.3">
      <c r="A6" s="1" t="s">
        <v>41</v>
      </c>
      <c r="B6" s="1" t="s">
        <v>42</v>
      </c>
      <c r="C6" s="1" t="s">
        <v>35</v>
      </c>
      <c r="D6" s="1">
        <v>15000</v>
      </c>
    </row>
    <row r="7" spans="1:4" ht="19.95" customHeight="1" x14ac:dyDescent="0.3">
      <c r="A7" s="1" t="s">
        <v>43</v>
      </c>
      <c r="B7" s="1" t="s">
        <v>44</v>
      </c>
      <c r="C7" s="1" t="s">
        <v>45</v>
      </c>
      <c r="D7" s="1">
        <v>1200</v>
      </c>
    </row>
    <row r="8" spans="1:4" ht="19.95" customHeight="1" x14ac:dyDescent="0.3">
      <c r="A8" s="1" t="s">
        <v>46</v>
      </c>
      <c r="B8" s="1" t="s">
        <v>47</v>
      </c>
      <c r="C8" s="1" t="s">
        <v>45</v>
      </c>
      <c r="D8" s="1">
        <v>800</v>
      </c>
    </row>
    <row r="9" spans="1:4" ht="19.95" customHeight="1" x14ac:dyDescent="0.3">
      <c r="A9" s="1" t="s">
        <v>48</v>
      </c>
      <c r="B9" s="1" t="s">
        <v>49</v>
      </c>
      <c r="C9" s="1" t="s">
        <v>45</v>
      </c>
      <c r="D9" s="1">
        <v>2500</v>
      </c>
    </row>
    <row r="10" spans="1:4" ht="19.95" customHeight="1" x14ac:dyDescent="0.3">
      <c r="A10" s="1" t="s">
        <v>50</v>
      </c>
      <c r="B10" s="1" t="s">
        <v>51</v>
      </c>
      <c r="C10" s="1" t="s">
        <v>45</v>
      </c>
      <c r="D10" s="1">
        <v>3000</v>
      </c>
    </row>
    <row r="11" spans="1:4" ht="19.95" customHeight="1" x14ac:dyDescent="0.3">
      <c r="A11" s="1" t="s">
        <v>52</v>
      </c>
      <c r="B11" s="1" t="s">
        <v>53</v>
      </c>
      <c r="C11" s="1" t="s">
        <v>54</v>
      </c>
      <c r="D11" s="1">
        <v>3500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 SINGH</dc:creator>
  <cp:lastModifiedBy>SRA SINGH</cp:lastModifiedBy>
  <dcterms:created xsi:type="dcterms:W3CDTF">2026-06-18T15:41:49Z</dcterms:created>
  <dcterms:modified xsi:type="dcterms:W3CDTF">2026-06-18T17:21:28Z</dcterms:modified>
</cp:coreProperties>
</file>